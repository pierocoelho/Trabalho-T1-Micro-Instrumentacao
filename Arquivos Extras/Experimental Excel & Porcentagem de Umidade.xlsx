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uabr-my.sharepoint.com/personal/22_00012-7_maua_br/Documents/CA 4a/Projeto Micro &amp; Instrumentação/T1/Upload GitHub/"/>
    </mc:Choice>
  </mc:AlternateContent>
  <xr:revisionPtr revIDLastSave="140" documentId="8_{EACDDDFD-8BB3-4695-820E-22D66966DCA6}" xr6:coauthVersionLast="47" xr6:coauthVersionMax="47" xr10:uidLastSave="{BA604F60-4919-4975-805C-10E9F4312F04}"/>
  <bookViews>
    <workbookView xWindow="-28920" yWindow="-120" windowWidth="29040" windowHeight="15720" xr2:uid="{392CA0BA-5CA9-4A4D-97D0-C5015BEFF57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5" i="1"/>
  <c r="C46" i="1"/>
  <c r="C47" i="1"/>
  <c r="C48" i="1"/>
  <c r="C49" i="1"/>
  <c r="C50" i="1"/>
  <c r="C51" i="1"/>
  <c r="C52" i="1"/>
  <c r="C53" i="1"/>
  <c r="C40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25" i="1"/>
  <c r="B26" i="1"/>
  <c r="B27" i="1"/>
  <c r="B28" i="1"/>
  <c r="B29" i="1"/>
  <c r="B30" i="1"/>
  <c r="B31" i="1"/>
  <c r="B32" i="1"/>
  <c r="B33" i="1" s="1"/>
  <c r="B34" i="1" s="1"/>
  <c r="B35" i="1" s="1"/>
  <c r="B36" i="1" s="1"/>
  <c r="B37" i="1" s="1"/>
  <c r="B38" i="1" s="1"/>
  <c r="B25" i="1"/>
  <c r="D57" i="1"/>
  <c r="F21" i="1"/>
  <c r="C20" i="1"/>
  <c r="D20" i="1" s="1"/>
  <c r="C19" i="1"/>
  <c r="D19" i="1" s="1"/>
  <c r="C18" i="1"/>
  <c r="D18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</calcChain>
</file>

<file path=xl/sharedStrings.xml><?xml version="1.0" encoding="utf-8"?>
<sst xmlns="http://schemas.openxmlformats.org/spreadsheetml/2006/main" count="20" uniqueCount="20">
  <si>
    <t>Considerando as borrifadas vindo de cima da fonte</t>
  </si>
  <si>
    <t>Considerando o menor valor visto no multimetro para anotar a porcentagem</t>
  </si>
  <si>
    <t>Borrifadas</t>
  </si>
  <si>
    <t>Voltagem Média</t>
  </si>
  <si>
    <t>Conversão para Umidade Média</t>
  </si>
  <si>
    <t>Voltagem Teste 1</t>
  </si>
  <si>
    <t>Voltagem Teste 2</t>
  </si>
  <si>
    <t>Voltagem Teste 3</t>
  </si>
  <si>
    <t>Voltagem Teste 4</t>
  </si>
  <si>
    <t>Voltagem Teste 5</t>
  </si>
  <si>
    <t>Voltagem Teste 6</t>
  </si>
  <si>
    <t>Voltagem Teste 7</t>
  </si>
  <si>
    <t>Voltagem Teste 8</t>
  </si>
  <si>
    <t>Voltagem Teste 9</t>
  </si>
  <si>
    <t>Voltagem Teste 10</t>
  </si>
  <si>
    <t xml:space="preserve">Momento em que a agua começou a cair </t>
  </si>
  <si>
    <t>Minimo</t>
  </si>
  <si>
    <t>Maximo</t>
  </si>
  <si>
    <t>100%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</si>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</sst>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10" fontId="0" fillId="0" borderId="0" xfId="1" applyNumberFormat="1" applyFont="1"/>
    <xf numFmtId="0" fontId="0" fillId="0" borderId="0" xfId="0" applyAlignment="1">
      <alignment vertical="center"/>
    </xf>
  </cellXfs>
  <cellStyles count="2">
    <cellStyle name="Normal" xfId="0" builtinId="0"/>
    <cellStyle name="Porcentagem" xfId="1" builtinId="5"/>
  </cellStyles>
  <dxfs count="3">
    <dxf>
      <numFmt numFmtId="13" formatCode="0%"/>
    </dxf>
    <dxf>
      <numFmt numFmtId="13" formatCode="0%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Tensão de</a:t>
            </a:r>
            <a:r>
              <a:rPr lang="pt-BR" baseline="0"/>
              <a:t> saída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1126574803149607"/>
                  <c:y val="-0.3974930737824438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Planilha1!$B$25:$B$38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Planilha1!$C$25:$C$38</c:f>
              <c:numCache>
                <c:formatCode>0.000</c:formatCode>
                <c:ptCount val="14"/>
                <c:pt idx="0">
                  <c:v>2.9106999999999998</c:v>
                </c:pt>
                <c:pt idx="1">
                  <c:v>1.7847999999999999</c:v>
                </c:pt>
                <c:pt idx="2">
                  <c:v>1.4366999999999999</c:v>
                </c:pt>
                <c:pt idx="3">
                  <c:v>1.288</c:v>
                </c:pt>
                <c:pt idx="4">
                  <c:v>1.1983999999999999</c:v>
                </c:pt>
                <c:pt idx="5">
                  <c:v>1.1242000000000001</c:v>
                </c:pt>
                <c:pt idx="6">
                  <c:v>1.0598999999999998</c:v>
                </c:pt>
                <c:pt idx="7">
                  <c:v>0.99349999999999983</c:v>
                </c:pt>
                <c:pt idx="8">
                  <c:v>0.95590000000000008</c:v>
                </c:pt>
                <c:pt idx="9">
                  <c:v>0.91830000000000012</c:v>
                </c:pt>
                <c:pt idx="10">
                  <c:v>0.87859999999999994</c:v>
                </c:pt>
                <c:pt idx="11">
                  <c:v>0.84359999999999979</c:v>
                </c:pt>
                <c:pt idx="12">
                  <c:v>0.81939999999999991</c:v>
                </c:pt>
                <c:pt idx="13">
                  <c:v>0.78200000000000003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D-4925-8C0C-3D1EBDF9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053103"/>
        <c:axId val="1102054543"/>
      </c:scatterChart>
      <c:valAx>
        <c:axId val="110205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Borrifadas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054543"/>
        <c:crosses val="autoZero"/>
        <c:crossBetween val="midCat"/>
      </c:valAx>
      <c:valAx>
        <c:axId val="110205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Tensão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05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Umidade</a:t>
            </a:r>
            <a:r>
              <a:rPr lang="pt-BR" baseline="0"/>
              <a:t> por Borrifada (%)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2841294838145231"/>
                  <c:y val="-0.37172134733158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Planilha1!$B$40:$B$53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Planilha1!$C$40:$C$53</c:f>
              <c:numCache>
                <c:formatCode>0%</c:formatCode>
                <c:ptCount val="14"/>
                <c:pt idx="0">
                  <c:v>4.9462520772377882E-3</c:v>
                </c:pt>
                <c:pt idx="1">
                  <c:v>0.10404166277669447</c:v>
                </c:pt>
                <c:pt idx="2">
                  <c:v>0.19611087772931002</c:v>
                </c:pt>
                <c:pt idx="3">
                  <c:v>0.26205394218292138</c:v>
                </c:pt>
                <c:pt idx="4">
                  <c:v>0.31512255362133224</c:v>
                </c:pt>
                <c:pt idx="5">
                  <c:v>0.36975620947618798</c:v>
                </c:pt>
                <c:pt idx="6">
                  <c:v>0.42738552075575148</c:v>
                </c:pt>
                <c:pt idx="7">
                  <c:v>0.49993129782168105</c:v>
                </c:pt>
                <c:pt idx="8">
                  <c:v>0.54837920995515732</c:v>
                </c:pt>
                <c:pt idx="9">
                  <c:v>0.60333685272533821</c:v>
                </c:pt>
                <c:pt idx="10">
                  <c:v>0.66975757722031704</c:v>
                </c:pt>
                <c:pt idx="11">
                  <c:v>0.73683436891074439</c:v>
                </c:pt>
                <c:pt idx="12">
                  <c:v>0.78868825166259204</c:v>
                </c:pt>
                <c:pt idx="13">
                  <c:v>0.87919223990922113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61-49C1-B8EA-EBF3B5253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053103"/>
        <c:axId val="1102054543"/>
      </c:scatterChart>
      <c:valAx>
        <c:axId val="1102053103"/>
        <c:scaling>
          <c:orientation val="minMax"/>
          <c:max val="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Borrifadas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054543"/>
        <c:crosses val="autoZero"/>
        <c:crossBetween val="midCat"/>
        <c:majorUnit val="1"/>
      </c:valAx>
      <c:valAx>
        <c:axId val="110205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Porcentagem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05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24</xdr:row>
      <xdr:rowOff>135467</xdr:rowOff>
    </xdr:from>
    <xdr:to>
      <xdr:col>8</xdr:col>
      <xdr:colOff>762000</xdr:colOff>
      <xdr:row>39</xdr:row>
      <xdr:rowOff>84667</xdr:rowOff>
    </xdr:to>
    <xdr:graphicFrame macro="">
      <xdr:nvGraphicFramePr>
        <xdr:cNvPr id="34" name="Gráfico 5">
          <a:extLst>
            <a:ext uri="{FF2B5EF4-FFF2-40B4-BE49-F238E27FC236}">
              <a16:creationId xmlns:a16="http://schemas.microsoft.com/office/drawing/2014/main" id="{C7E2256D-B8BB-2EFE-86B8-BCE82102F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39</xdr:row>
      <xdr:rowOff>186266</xdr:rowOff>
    </xdr:from>
    <xdr:to>
      <xdr:col>8</xdr:col>
      <xdr:colOff>762000</xdr:colOff>
      <xdr:row>54</xdr:row>
      <xdr:rowOff>135466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1C51F4-2CC2-4D3E-B1DF-89109216F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508000</xdr:colOff>
      <xdr:row>24</xdr:row>
      <xdr:rowOff>67733</xdr:rowOff>
    </xdr:from>
    <xdr:to>
      <xdr:col>4</xdr:col>
      <xdr:colOff>1007534</xdr:colOff>
      <xdr:row>29</xdr:row>
      <xdr:rowOff>67734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1ADAACB0-04CE-3E32-5FDD-FE2F034D8DE1}"/>
                </a:ext>
              </a:extLst>
            </xdr:cNvPr>
            <xdr:cNvSpPr txBox="1"/>
          </xdr:nvSpPr>
          <xdr:spPr>
            <a:xfrm>
              <a:off x="3031067" y="4538133"/>
              <a:ext cx="2667000" cy="93133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100"/>
                <a:t>Equação</a:t>
              </a:r>
              <a:r>
                <a:rPr lang="pt-BR" sz="1100" baseline="0"/>
                <a:t> para porcentagem:</a:t>
              </a:r>
              <a:endParaRPr lang="pt-BR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pt-B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pt-BR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pt-BR" sz="1100" b="0" i="1">
                                            <a:latin typeface="Cambria Math" panose="02040503050406030204" pitchFamily="18" charset="0"/>
                                          </a:rPr>
                                          <m:t>2,574</m:t>
                                        </m:r>
                                      </m:num>
                                      <m:den>
                                        <m:r>
                                          <a:rPr lang="pt-BR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  <m:sup>
                                <m:r>
                                  <a:rPr lang="pt-BR" sz="1100" b="0" i="1">
                                    <a:latin typeface="Cambria Math" panose="02040503050406030204" pitchFamily="18" charset="0"/>
                                  </a:rPr>
                                  <m:t>2,203</m:t>
                                </m:r>
                              </m:sup>
                            </m:s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−0,689</m:t>
                            </m:r>
                          </m:e>
                        </m:d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14,911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</a:rPr>
                      <m:t>∗100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1ADAACB0-04CE-3E32-5FDD-FE2F034D8DE1}"/>
                </a:ext>
              </a:extLst>
            </xdr:cNvPr>
            <xdr:cNvSpPr txBox="1"/>
          </xdr:nvSpPr>
          <xdr:spPr>
            <a:xfrm>
              <a:off x="3031067" y="4538133"/>
              <a:ext cx="2667000" cy="93133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100"/>
                <a:t>Equação</a:t>
              </a:r>
              <a:r>
                <a:rPr lang="pt-BR" sz="1100" baseline="0"/>
                <a:t> para porcentagem:</a:t>
              </a:r>
              <a:endParaRPr lang="pt-BR" sz="1100" b="0" i="1">
                <a:latin typeface="Cambria Math" panose="02040503050406030204" pitchFamily="18" charset="0"/>
              </a:endParaRPr>
            </a:p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(((2,574/𝑥)^2,203−0,689))/14,911∗100</a:t>
              </a:r>
              <a:endParaRPr lang="pt-BR" sz="1100"/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992E5-D718-4E44-9CE0-354DF431FE36}" name="Tabela1" displayName="Tabela1" ref="B6:N22" totalsRowCount="1">
  <autoFilter ref="B6:N21" xr:uid="{480992E5-D718-4E44-9CE0-354DF431FE36}"/>
  <tableColumns count="13">
    <tableColumn id="1" xr3:uid="{756577F1-052C-47B9-9B8B-6539A733D68A}" name="Borrifadas"/>
    <tableColumn id="2" xr3:uid="{A159067F-5B6B-4D96-B870-B6DCD4FD2AA0}" name="Voltagem Média" dataDxfId="2">
      <calculatedColumnFormula>AVERAGE(Tabela1[[#This Row],[Voltagem Teste 1]:[Voltagem Teste 10]])</calculatedColumnFormula>
    </tableColumn>
    <tableColumn id="13" xr3:uid="{979A96EF-82EF-4290-876B-C5AB329F3A18}" name="Conversão para Umidade Média" totalsRowLabel="100%" dataDxfId="1" totalsRowDxfId="0">
      <calculatedColumnFormula>2.574*Tabela1[[#This Row],[Voltagem Média]]^(-0.454)</calculatedColumnFormula>
    </tableColumn>
    <tableColumn id="3" xr3:uid="{E3906F5D-004E-44E4-9CE5-2191A837F453}" name="Voltagem Teste 1"/>
    <tableColumn id="4" xr3:uid="{31063A6F-1104-48E3-A46E-32AE12B666BF}" name="Voltagem Teste 2"/>
    <tableColumn id="5" xr3:uid="{CC355B29-A2AF-43CC-9CCD-51F4283712E3}" name="Voltagem Teste 3"/>
    <tableColumn id="6" xr3:uid="{4427E08F-4291-4F3D-8340-73876A57394C}" name="Voltagem Teste 4"/>
    <tableColumn id="7" xr3:uid="{3C92C800-BE8F-4765-8EAB-761CA0956923}" name="Voltagem Teste 5"/>
    <tableColumn id="8" xr3:uid="{1B9C8899-62E8-4474-9595-334E281AAC12}" name="Voltagem Teste 6"/>
    <tableColumn id="9" xr3:uid="{64E540B8-8F30-4FF9-84C2-2C7A242559E4}" name="Voltagem Teste 7"/>
    <tableColumn id="10" xr3:uid="{69C07F1C-552F-49D7-9213-2796BE726AFD}" name="Voltagem Teste 8"/>
    <tableColumn id="11" xr3:uid="{ABF05C68-D35E-4ADC-9923-748A5D781C96}" name="Voltagem Teste 9"/>
    <tableColumn id="12" xr3:uid="{579D3612-5B43-49EF-95C0-042BBD0CE5F8}" name="Voltagem Teste 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9E5E-138D-424D-9437-8155E203B79B}">
  <dimension ref="A2:N64"/>
  <sheetViews>
    <sheetView tabSelected="1" topLeftCell="A16" zoomScale="115" zoomScaleNormal="115" workbookViewId="0">
      <selection activeCell="J33" sqref="J32:J33"/>
    </sheetView>
  </sheetViews>
  <sheetFormatPr defaultRowHeight="15" x14ac:dyDescent="0.25"/>
  <cols>
    <col min="2" max="2" width="12.42578125" bestFit="1" customWidth="1"/>
    <col min="3" max="3" width="15.42578125" customWidth="1"/>
    <col min="4" max="4" width="31.5703125" bestFit="1" customWidth="1"/>
    <col min="5" max="13" width="18.7109375" bestFit="1" customWidth="1"/>
    <col min="14" max="14" width="19.7109375" bestFit="1" customWidth="1"/>
  </cols>
  <sheetData>
    <row r="2" spans="2:14" x14ac:dyDescent="0.25">
      <c r="B2" t="s">
        <v>0</v>
      </c>
    </row>
    <row r="3" spans="2:14" x14ac:dyDescent="0.25">
      <c r="B3" t="s">
        <v>1</v>
      </c>
    </row>
    <row r="6" spans="2:14" x14ac:dyDescent="0.25"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</row>
    <row r="7" spans="2:14" x14ac:dyDescent="0.25">
      <c r="B7">
        <v>0</v>
      </c>
      <c r="C7" s="1">
        <f>AVERAGE(Tabela1[[#This Row],[Voltagem Teste 1]:[Voltagem Teste 10]])</f>
        <v>2.9106999999999998</v>
      </c>
      <c r="D7" s="2">
        <f>((2.574/C7)^(2.203)-0.689)/14.911</f>
        <v>4.9462520772377882E-3</v>
      </c>
      <c r="E7">
        <v>2.9</v>
      </c>
      <c r="F7">
        <v>2.88</v>
      </c>
      <c r="G7">
        <v>2.89</v>
      </c>
      <c r="H7">
        <v>2.8969999999999998</v>
      </c>
      <c r="I7">
        <v>2.9009999999999998</v>
      </c>
      <c r="J7">
        <v>2.8980000000000001</v>
      </c>
      <c r="K7">
        <v>3.05</v>
      </c>
      <c r="L7">
        <v>2.9</v>
      </c>
      <c r="M7">
        <v>2.895</v>
      </c>
      <c r="N7">
        <v>2.8959999999999999</v>
      </c>
    </row>
    <row r="8" spans="2:14" x14ac:dyDescent="0.25">
      <c r="B8">
        <v>1</v>
      </c>
      <c r="C8" s="1">
        <f>AVERAGE(Tabela1[[#This Row],[Voltagem Teste 1]:[Voltagem Teste 10]])</f>
        <v>1.7847999999999999</v>
      </c>
      <c r="D8" s="2">
        <f t="shared" ref="D8:D20" si="0">((2.574/C8)^(2.203)-0.689)/14.911</f>
        <v>0.10404166277669447</v>
      </c>
      <c r="E8">
        <v>2.14</v>
      </c>
      <c r="F8">
        <v>1.71</v>
      </c>
      <c r="G8">
        <v>1.78</v>
      </c>
      <c r="H8">
        <v>1.76</v>
      </c>
      <c r="I8">
        <v>1.615</v>
      </c>
      <c r="J8">
        <v>2.0339999999999998</v>
      </c>
      <c r="K8">
        <v>1.61</v>
      </c>
      <c r="L8">
        <v>1.774</v>
      </c>
      <c r="M8">
        <v>1.78</v>
      </c>
      <c r="N8">
        <v>1.645</v>
      </c>
    </row>
    <row r="9" spans="2:14" x14ac:dyDescent="0.25">
      <c r="B9">
        <v>2</v>
      </c>
      <c r="C9" s="1">
        <f>AVERAGE(Tabela1[[#This Row],[Voltagem Teste 1]:[Voltagem Teste 10]])</f>
        <v>1.4366999999999999</v>
      </c>
      <c r="D9" s="2">
        <f t="shared" si="0"/>
        <v>0.19611087772931002</v>
      </c>
      <c r="E9">
        <v>1.73</v>
      </c>
      <c r="F9">
        <v>1.45</v>
      </c>
      <c r="G9">
        <v>1.4</v>
      </c>
      <c r="H9">
        <v>1.38</v>
      </c>
      <c r="I9">
        <v>1.34</v>
      </c>
      <c r="J9">
        <v>1.5189999999999999</v>
      </c>
      <c r="K9">
        <v>1.32</v>
      </c>
      <c r="L9">
        <v>1.44</v>
      </c>
      <c r="M9">
        <v>1.3979999999999999</v>
      </c>
      <c r="N9">
        <v>1.39</v>
      </c>
    </row>
    <row r="10" spans="2:14" x14ac:dyDescent="0.25">
      <c r="B10">
        <v>3</v>
      </c>
      <c r="C10" s="1">
        <f>AVERAGE(Tabela1[[#This Row],[Voltagem Teste 1]:[Voltagem Teste 10]])</f>
        <v>1.288</v>
      </c>
      <c r="D10" s="2">
        <f t="shared" si="0"/>
        <v>0.26205394218292138</v>
      </c>
      <c r="E10">
        <v>1.52</v>
      </c>
      <c r="F10">
        <v>1.33</v>
      </c>
      <c r="G10">
        <v>1.28</v>
      </c>
      <c r="H10">
        <v>1.27</v>
      </c>
      <c r="I10">
        <v>1.2</v>
      </c>
      <c r="J10">
        <v>1.32</v>
      </c>
      <c r="K10">
        <v>1.18</v>
      </c>
      <c r="L10">
        <v>1.29</v>
      </c>
      <c r="M10">
        <v>1.25</v>
      </c>
      <c r="N10">
        <v>1.24</v>
      </c>
    </row>
    <row r="11" spans="2:14" x14ac:dyDescent="0.25">
      <c r="B11">
        <v>4</v>
      </c>
      <c r="C11" s="1">
        <f>AVERAGE(Tabela1[[#This Row],[Voltagem Teste 1]:[Voltagem Teste 10]])</f>
        <v>1.1983999999999999</v>
      </c>
      <c r="D11" s="2">
        <f t="shared" si="0"/>
        <v>0.31512255362133224</v>
      </c>
      <c r="E11">
        <v>1.35</v>
      </c>
      <c r="F11">
        <v>1.22</v>
      </c>
      <c r="G11">
        <v>1.1579999999999999</v>
      </c>
      <c r="H11">
        <v>1.18</v>
      </c>
      <c r="I11">
        <v>1.0860000000000001</v>
      </c>
      <c r="J11">
        <v>1.26</v>
      </c>
      <c r="K11">
        <v>1.1499999999999999</v>
      </c>
      <c r="L11">
        <v>1.26</v>
      </c>
      <c r="M11">
        <v>1.1599999999999999</v>
      </c>
      <c r="N11">
        <v>1.1599999999999999</v>
      </c>
    </row>
    <row r="12" spans="2:14" x14ac:dyDescent="0.25">
      <c r="B12">
        <v>5</v>
      </c>
      <c r="C12" s="1">
        <f>AVERAGE(Tabela1[[#This Row],[Voltagem Teste 1]:[Voltagem Teste 10]])</f>
        <v>1.1242000000000001</v>
      </c>
      <c r="D12" s="2">
        <f t="shared" si="0"/>
        <v>0.36975620947618798</v>
      </c>
      <c r="E12">
        <v>1.32</v>
      </c>
      <c r="F12">
        <v>1.115</v>
      </c>
      <c r="G12">
        <v>1.0640000000000001</v>
      </c>
      <c r="H12">
        <v>1.1299999999999999</v>
      </c>
      <c r="I12">
        <v>1.03</v>
      </c>
      <c r="J12">
        <v>1.1599999999999999</v>
      </c>
      <c r="K12">
        <v>1.1100000000000001</v>
      </c>
      <c r="L12">
        <v>1.1499999999999999</v>
      </c>
      <c r="M12">
        <v>1.0529999999999999</v>
      </c>
      <c r="N12">
        <v>1.1100000000000001</v>
      </c>
    </row>
    <row r="13" spans="2:14" x14ac:dyDescent="0.25">
      <c r="B13">
        <v>6</v>
      </c>
      <c r="C13" s="1">
        <f>AVERAGE(Tabela1[[#This Row],[Voltagem Teste 1]:[Voltagem Teste 10]])</f>
        <v>1.0598999999999998</v>
      </c>
      <c r="D13" s="2">
        <f t="shared" si="0"/>
        <v>0.42738552075575148</v>
      </c>
      <c r="E13">
        <v>1.26</v>
      </c>
      <c r="F13">
        <v>1.08</v>
      </c>
      <c r="G13">
        <v>0.98499999999999999</v>
      </c>
      <c r="H13">
        <v>1.03</v>
      </c>
      <c r="I13">
        <v>0.94899999999999995</v>
      </c>
      <c r="J13">
        <v>1.0620000000000001</v>
      </c>
      <c r="K13">
        <v>1.0629999999999999</v>
      </c>
      <c r="L13">
        <v>1.0880000000000001</v>
      </c>
      <c r="M13">
        <v>1.0369999999999999</v>
      </c>
      <c r="N13">
        <v>1.0449999999999999</v>
      </c>
    </row>
    <row r="14" spans="2:14" x14ac:dyDescent="0.25">
      <c r="B14">
        <v>7</v>
      </c>
      <c r="C14" s="1">
        <f>AVERAGE(Tabela1[[#This Row],[Voltagem Teste 1]:[Voltagem Teste 10]])</f>
        <v>0.99349999999999983</v>
      </c>
      <c r="D14" s="2">
        <f t="shared" si="0"/>
        <v>0.49993129782168105</v>
      </c>
      <c r="E14">
        <v>1.1499999999999999</v>
      </c>
      <c r="F14">
        <v>1</v>
      </c>
      <c r="G14">
        <v>0.92700000000000005</v>
      </c>
      <c r="H14">
        <v>0.94</v>
      </c>
      <c r="I14">
        <v>0.91700000000000004</v>
      </c>
      <c r="J14">
        <v>1.028</v>
      </c>
      <c r="K14">
        <v>0.96499999999999997</v>
      </c>
      <c r="L14">
        <v>1.0640000000000001</v>
      </c>
      <c r="M14">
        <v>1</v>
      </c>
      <c r="N14">
        <v>0.94399999999999995</v>
      </c>
    </row>
    <row r="15" spans="2:14" x14ac:dyDescent="0.25">
      <c r="B15">
        <v>8</v>
      </c>
      <c r="C15" s="1">
        <f>AVERAGE(Tabela1[[#This Row],[Voltagem Teste 1]:[Voltagem Teste 10]])</f>
        <v>0.95590000000000008</v>
      </c>
      <c r="D15" s="2">
        <f t="shared" si="0"/>
        <v>0.54837920995515732</v>
      </c>
      <c r="E15">
        <v>1.08</v>
      </c>
      <c r="F15">
        <v>0.98</v>
      </c>
      <c r="G15">
        <v>0.91100000000000003</v>
      </c>
      <c r="H15">
        <v>0.91700000000000004</v>
      </c>
      <c r="I15">
        <v>0.86</v>
      </c>
      <c r="J15">
        <v>0.99199999999999999</v>
      </c>
      <c r="K15">
        <v>0.94399999999999995</v>
      </c>
      <c r="L15">
        <v>1.024</v>
      </c>
      <c r="M15">
        <v>0.94099999999999995</v>
      </c>
      <c r="N15">
        <v>0.91</v>
      </c>
    </row>
    <row r="16" spans="2:14" x14ac:dyDescent="0.25">
      <c r="B16">
        <v>9</v>
      </c>
      <c r="C16" s="1">
        <f>AVERAGE(Tabela1[[#This Row],[Voltagem Teste 1]:[Voltagem Teste 10]])</f>
        <v>0.91830000000000012</v>
      </c>
      <c r="D16" s="2">
        <f t="shared" si="0"/>
        <v>0.60333685272533821</v>
      </c>
      <c r="E16">
        <v>1.07</v>
      </c>
      <c r="F16">
        <v>0.89</v>
      </c>
      <c r="G16">
        <v>0.877</v>
      </c>
      <c r="H16">
        <v>0.89</v>
      </c>
      <c r="I16">
        <v>0.86099999999999999</v>
      </c>
      <c r="J16">
        <v>0.93200000000000005</v>
      </c>
      <c r="K16">
        <v>0.88300000000000001</v>
      </c>
      <c r="L16">
        <v>0.98</v>
      </c>
      <c r="M16">
        <v>0.92</v>
      </c>
      <c r="N16">
        <v>0.88</v>
      </c>
    </row>
    <row r="17" spans="1:14" x14ac:dyDescent="0.25">
      <c r="B17">
        <v>10</v>
      </c>
      <c r="C17" s="1">
        <f>AVERAGE(Tabela1[[#This Row],[Voltagem Teste 1]:[Voltagem Teste 10]])</f>
        <v>0.87859999999999994</v>
      </c>
      <c r="D17" s="2">
        <f t="shared" si="0"/>
        <v>0.66975757722031704</v>
      </c>
      <c r="E17">
        <v>1.03</v>
      </c>
      <c r="F17">
        <v>0.86</v>
      </c>
      <c r="G17">
        <v>0.85699999999999998</v>
      </c>
      <c r="H17">
        <v>0.86</v>
      </c>
      <c r="I17">
        <v>0.83</v>
      </c>
      <c r="J17">
        <v>0.90400000000000003</v>
      </c>
      <c r="K17">
        <v>0.85799999999999998</v>
      </c>
      <c r="L17">
        <v>0.90500000000000003</v>
      </c>
      <c r="M17">
        <v>0.88</v>
      </c>
      <c r="N17">
        <v>0.80200000000000005</v>
      </c>
    </row>
    <row r="18" spans="1:14" x14ac:dyDescent="0.25">
      <c r="B18">
        <v>11</v>
      </c>
      <c r="C18" s="1">
        <f>AVERAGE(Tabela1[[#This Row],[Voltagem Teste 1]:[Voltagem Teste 10]])</f>
        <v>0.84359999999999979</v>
      </c>
      <c r="D18" s="2">
        <f t="shared" si="0"/>
        <v>0.73683436891074439</v>
      </c>
      <c r="E18">
        <v>0.94</v>
      </c>
      <c r="F18">
        <v>0.85</v>
      </c>
      <c r="G18">
        <v>0.81299999999999994</v>
      </c>
      <c r="H18">
        <v>0.82</v>
      </c>
      <c r="I18">
        <v>0.80700000000000005</v>
      </c>
      <c r="J18">
        <v>0.83699999999999997</v>
      </c>
      <c r="K18">
        <v>0.81799999999999995</v>
      </c>
      <c r="L18">
        <v>0.85199999999999998</v>
      </c>
      <c r="M18">
        <v>0.86099999999999999</v>
      </c>
      <c r="N18">
        <v>0.83799999999999997</v>
      </c>
    </row>
    <row r="19" spans="1:14" x14ac:dyDescent="0.25">
      <c r="B19">
        <v>12</v>
      </c>
      <c r="C19" s="1">
        <f>AVERAGE(Tabela1[[#This Row],[Voltagem Teste 1]:[Voltagem Teste 10]])</f>
        <v>0.81939999999999991</v>
      </c>
      <c r="D19" s="2">
        <f t="shared" si="0"/>
        <v>0.78868825166259204</v>
      </c>
      <c r="E19">
        <v>0.9</v>
      </c>
      <c r="F19">
        <v>0.81</v>
      </c>
      <c r="G19">
        <v>0.81</v>
      </c>
      <c r="H19">
        <v>0.8</v>
      </c>
      <c r="I19">
        <v>0.78600000000000003</v>
      </c>
      <c r="J19">
        <v>0.79700000000000004</v>
      </c>
      <c r="K19">
        <v>0.79600000000000004</v>
      </c>
      <c r="L19">
        <v>0.88300000000000001</v>
      </c>
      <c r="M19">
        <v>0.81899999999999995</v>
      </c>
      <c r="N19">
        <v>0.79300000000000004</v>
      </c>
    </row>
    <row r="20" spans="1:14" x14ac:dyDescent="0.25">
      <c r="A20" t="s">
        <v>15</v>
      </c>
      <c r="B20">
        <v>13</v>
      </c>
      <c r="C20" s="1">
        <f>AVERAGE(Tabela1[[#This Row],[Voltagem Teste 1]:[Voltagem Teste 10]])</f>
        <v>0.78200000000000003</v>
      </c>
      <c r="D20" s="2">
        <f t="shared" si="0"/>
        <v>0.87919223990922113</v>
      </c>
      <c r="E20">
        <v>0.85</v>
      </c>
      <c r="F20">
        <v>0.79</v>
      </c>
      <c r="G20">
        <v>0.77</v>
      </c>
      <c r="H20">
        <v>0.79</v>
      </c>
      <c r="I20">
        <v>0.75</v>
      </c>
      <c r="J20">
        <v>0.74</v>
      </c>
      <c r="K20">
        <v>0.76300000000000001</v>
      </c>
      <c r="L20">
        <v>0.80800000000000005</v>
      </c>
      <c r="M20">
        <v>0.79900000000000004</v>
      </c>
      <c r="N20">
        <v>0.76</v>
      </c>
    </row>
    <row r="21" spans="1:14" x14ac:dyDescent="0.25">
      <c r="C21" s="1"/>
      <c r="D21" s="2"/>
      <c r="E21" t="s">
        <v>16</v>
      </c>
      <c r="F21" s="1">
        <f>MIN(E20:N20)</f>
        <v>0.74</v>
      </c>
      <c r="G21" t="s">
        <v>17</v>
      </c>
      <c r="H21" s="1">
        <v>3.05</v>
      </c>
    </row>
    <row r="22" spans="1:14" x14ac:dyDescent="0.25">
      <c r="D22" s="3" t="s">
        <v>18</v>
      </c>
    </row>
    <row r="24" spans="1:14" x14ac:dyDescent="0.25">
      <c r="B24" s="3"/>
    </row>
    <row r="25" spans="1:14" x14ac:dyDescent="0.25">
      <c r="A25">
        <v>1</v>
      </c>
      <c r="B25">
        <f t="shared" ref="B25:B38" si="1">B24+1</f>
        <v>1</v>
      </c>
      <c r="C25" s="1">
        <f>C7</f>
        <v>2.9106999999999998</v>
      </c>
    </row>
    <row r="26" spans="1:14" x14ac:dyDescent="0.25">
      <c r="B26">
        <f t="shared" si="1"/>
        <v>2</v>
      </c>
      <c r="C26" s="1">
        <f t="shared" ref="C26:C38" si="2">C8</f>
        <v>1.7847999999999999</v>
      </c>
    </row>
    <row r="27" spans="1:14" x14ac:dyDescent="0.25">
      <c r="B27">
        <f t="shared" si="1"/>
        <v>3</v>
      </c>
      <c r="C27" s="1">
        <f t="shared" si="2"/>
        <v>1.4366999999999999</v>
      </c>
      <c r="J27" s="3"/>
    </row>
    <row r="28" spans="1:14" x14ac:dyDescent="0.25">
      <c r="B28">
        <f t="shared" si="1"/>
        <v>4</v>
      </c>
      <c r="C28" s="1">
        <f t="shared" si="2"/>
        <v>1.288</v>
      </c>
      <c r="J28" s="3"/>
    </row>
    <row r="29" spans="1:14" x14ac:dyDescent="0.25">
      <c r="B29">
        <f t="shared" si="1"/>
        <v>5</v>
      </c>
      <c r="C29" s="1">
        <f t="shared" si="2"/>
        <v>1.1983999999999999</v>
      </c>
    </row>
    <row r="30" spans="1:14" x14ac:dyDescent="0.25">
      <c r="B30">
        <f t="shared" si="1"/>
        <v>6</v>
      </c>
      <c r="C30" s="1">
        <f t="shared" si="2"/>
        <v>1.1242000000000001</v>
      </c>
    </row>
    <row r="31" spans="1:14" x14ac:dyDescent="0.25">
      <c r="B31">
        <f t="shared" si="1"/>
        <v>7</v>
      </c>
      <c r="C31" s="1">
        <f t="shared" si="2"/>
        <v>1.0598999999999998</v>
      </c>
    </row>
    <row r="32" spans="1:14" x14ac:dyDescent="0.25">
      <c r="B32">
        <f t="shared" si="1"/>
        <v>8</v>
      </c>
      <c r="C32" s="1">
        <f t="shared" si="2"/>
        <v>0.99349999999999983</v>
      </c>
    </row>
    <row r="33" spans="2:10" x14ac:dyDescent="0.25">
      <c r="B33">
        <f t="shared" si="1"/>
        <v>9</v>
      </c>
      <c r="C33" s="1">
        <f t="shared" si="2"/>
        <v>0.95590000000000008</v>
      </c>
    </row>
    <row r="34" spans="2:10" x14ac:dyDescent="0.25">
      <c r="B34">
        <f t="shared" si="1"/>
        <v>10</v>
      </c>
      <c r="C34" s="1">
        <f t="shared" si="2"/>
        <v>0.91830000000000012</v>
      </c>
    </row>
    <row r="35" spans="2:10" x14ac:dyDescent="0.25">
      <c r="B35">
        <f t="shared" si="1"/>
        <v>11</v>
      </c>
      <c r="C35" s="1">
        <f t="shared" si="2"/>
        <v>0.87859999999999994</v>
      </c>
    </row>
    <row r="36" spans="2:10" x14ac:dyDescent="0.25">
      <c r="B36">
        <f t="shared" si="1"/>
        <v>12</v>
      </c>
      <c r="C36" s="1">
        <f t="shared" si="2"/>
        <v>0.84359999999999979</v>
      </c>
    </row>
    <row r="37" spans="2:10" x14ac:dyDescent="0.25">
      <c r="B37">
        <f t="shared" si="1"/>
        <v>13</v>
      </c>
      <c r="C37" s="1">
        <f t="shared" si="2"/>
        <v>0.81939999999999991</v>
      </c>
    </row>
    <row r="38" spans="2:10" x14ac:dyDescent="0.25">
      <c r="B38">
        <f t="shared" si="1"/>
        <v>14</v>
      </c>
      <c r="C38" s="1">
        <f t="shared" si="2"/>
        <v>0.78200000000000003</v>
      </c>
      <c r="J38" s="3"/>
    </row>
    <row r="39" spans="2:10" x14ac:dyDescent="0.25">
      <c r="B39" s="3"/>
    </row>
    <row r="40" spans="2:10" x14ac:dyDescent="0.25">
      <c r="B40">
        <v>0</v>
      </c>
      <c r="C40" s="3">
        <f>D7</f>
        <v>4.9462520772377882E-3</v>
      </c>
    </row>
    <row r="41" spans="2:10" x14ac:dyDescent="0.25">
      <c r="B41">
        <v>1</v>
      </c>
      <c r="C41" s="3">
        <f t="shared" ref="C41:C53" si="3">D8</f>
        <v>0.10404166277669447</v>
      </c>
    </row>
    <row r="42" spans="2:10" x14ac:dyDescent="0.25">
      <c r="B42">
        <v>2</v>
      </c>
      <c r="C42" s="3">
        <f t="shared" si="3"/>
        <v>0.19611087772931002</v>
      </c>
    </row>
    <row r="43" spans="2:10" x14ac:dyDescent="0.25">
      <c r="B43">
        <v>3</v>
      </c>
      <c r="C43" s="3">
        <f t="shared" si="3"/>
        <v>0.26205394218292138</v>
      </c>
    </row>
    <row r="44" spans="2:10" x14ac:dyDescent="0.25">
      <c r="B44">
        <v>4</v>
      </c>
      <c r="C44" s="3">
        <f t="shared" si="3"/>
        <v>0.31512255362133224</v>
      </c>
    </row>
    <row r="45" spans="2:10" x14ac:dyDescent="0.25">
      <c r="B45">
        <v>5</v>
      </c>
      <c r="C45" s="3">
        <f t="shared" si="3"/>
        <v>0.36975620947618798</v>
      </c>
    </row>
    <row r="46" spans="2:10" x14ac:dyDescent="0.25">
      <c r="B46">
        <v>6</v>
      </c>
      <c r="C46" s="3">
        <f t="shared" si="3"/>
        <v>0.42738552075575148</v>
      </c>
    </row>
    <row r="47" spans="2:10" x14ac:dyDescent="0.25">
      <c r="B47">
        <v>7</v>
      </c>
      <c r="C47" s="3">
        <f t="shared" si="3"/>
        <v>0.49993129782168105</v>
      </c>
    </row>
    <row r="48" spans="2:10" x14ac:dyDescent="0.25">
      <c r="B48">
        <v>8</v>
      </c>
      <c r="C48" s="3">
        <f t="shared" si="3"/>
        <v>0.54837920995515732</v>
      </c>
    </row>
    <row r="49" spans="2:7" x14ac:dyDescent="0.25">
      <c r="B49">
        <v>9</v>
      </c>
      <c r="C49" s="3">
        <f t="shared" si="3"/>
        <v>0.60333685272533821</v>
      </c>
    </row>
    <row r="50" spans="2:7" x14ac:dyDescent="0.25">
      <c r="B50">
        <v>10</v>
      </c>
      <c r="C50" s="3">
        <f t="shared" si="3"/>
        <v>0.66975757722031704</v>
      </c>
    </row>
    <row r="51" spans="2:7" x14ac:dyDescent="0.25">
      <c r="B51">
        <v>11</v>
      </c>
      <c r="C51" s="3">
        <f t="shared" si="3"/>
        <v>0.73683436891074439</v>
      </c>
    </row>
    <row r="52" spans="2:7" x14ac:dyDescent="0.25">
      <c r="B52">
        <v>12</v>
      </c>
      <c r="C52" s="3">
        <f t="shared" si="3"/>
        <v>0.78868825166259204</v>
      </c>
    </row>
    <row r="53" spans="2:7" x14ac:dyDescent="0.25">
      <c r="B53">
        <v>13</v>
      </c>
      <c r="C53" s="3">
        <f t="shared" si="3"/>
        <v>0.87919223990922113</v>
      </c>
    </row>
    <row r="57" spans="2:7" x14ac:dyDescent="0.25">
      <c r="C57">
        <v>0.9</v>
      </c>
      <c r="D57" s="4">
        <f>((2.574/C57)^(2.203)-0.689)/14.911</f>
        <v>0.63278910400973065</v>
      </c>
    </row>
    <row r="60" spans="2:7" x14ac:dyDescent="0.25">
      <c r="G60" s="5" t="s">
        <v>19</v>
      </c>
    </row>
    <row r="64" spans="2:7" x14ac:dyDescent="0.25">
      <c r="F64" s="5"/>
      <c r="G64" s="5"/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4746342D974F44F88AB60C5F79C6F0D" ma:contentTypeVersion="13" ma:contentTypeDescription="Crie um novo documento." ma:contentTypeScope="" ma:versionID="8e04ef59e18bc7c765cf1187e9f64199">
  <xsd:schema xmlns:xsd="http://www.w3.org/2001/XMLSchema" xmlns:xs="http://www.w3.org/2001/XMLSchema" xmlns:p="http://schemas.microsoft.com/office/2006/metadata/properties" xmlns:ns3="ffd14f0a-8396-4ecd-a7b2-8d3fc6989f0c" targetNamespace="http://schemas.microsoft.com/office/2006/metadata/properties" ma:root="true" ma:fieldsID="c91ef6c641b0a167977f5394402b2d69" ns3:_="">
    <xsd:import namespace="ffd14f0a-8396-4ecd-a7b2-8d3fc6989f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14f0a-8396-4ecd-a7b2-8d3fc6989f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d14f0a-8396-4ecd-a7b2-8d3fc6989f0c" xsi:nil="true"/>
  </documentManagement>
</p:properties>
</file>

<file path=customXml/itemProps1.xml><?xml version="1.0" encoding="utf-8"?>
<ds:datastoreItem xmlns:ds="http://schemas.openxmlformats.org/officeDocument/2006/customXml" ds:itemID="{764AFA56-3629-4D09-B17A-E0A516F5FD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C01F17-BB91-4422-A665-1AA68042F7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14f0a-8396-4ecd-a7b2-8d3fc6989f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84C05F-F44E-4F4B-A1F4-E12F1DA2DB22}">
  <ds:schemaRefs>
    <ds:schemaRef ds:uri="ffd14f0a-8396-4ecd-a7b2-8d3fc6989f0c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PIERO RUTKOWSKI COELHO</dc:creator>
  <cp:keywords/>
  <dc:description/>
  <cp:lastModifiedBy>PIERO RUTKOWSKI COELHO</cp:lastModifiedBy>
  <cp:revision/>
  <dcterms:created xsi:type="dcterms:W3CDTF">2026-05-28T22:00:03Z</dcterms:created>
  <dcterms:modified xsi:type="dcterms:W3CDTF">2026-06-27T21:19:15Z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0x01010034746342D974F44F88AB60C5F79C6F0D</vt:lpwstr>
  </property>
</Properties>
</file>